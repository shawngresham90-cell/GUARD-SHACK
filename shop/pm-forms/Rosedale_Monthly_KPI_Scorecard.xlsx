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44e735d5044c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79342833cf4b4c4b"/>
    <x:sheet xmlns:r="http://schemas.openxmlformats.org/officeDocument/2006/relationships" name="Monthly KPI Entry" sheetId="2" r:id="R5a470987d0134bc1"/>
    <x:sheet xmlns:r="http://schemas.openxmlformats.org/officeDocument/2006/relationships" name="Technician Scorecards" sheetId="3" r:id="R7fca7eab57aa4513"/>
    <x:sheet xmlns:r="http://schemas.openxmlformats.org/officeDocument/2006/relationships" name="PM Schedule" sheetId="4" r:id="R685da6e672f74103"/>
    <x:sheet xmlns:r="http://schemas.openxmlformats.org/officeDocument/2006/relationships" name="Cost Categories" sheetId="5" r:id="Rda11cad4b11946a2"/>
    <x:sheet xmlns:r="http://schemas.openxmlformats.org/officeDocument/2006/relationships" name="Vendor Spend" sheetId="6" r:id="R60208d29433f42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"/>
    <x:numFmt numFmtId="201" formatCode="0.0%"/>
    <x:numFmt numFmtId="202" formatCode="$#,##0"/>
    <x:numFmt numFmtId="203" formatCode="0%"/>
  </x:numFmts>
  <x:fonts count="5">
    <x:font>
      <x:sz val="11"/>
      <x:name val="Carlito"/>
    </x:font>
    <x:font>
      <x:b/>
      <x:sz val="16"/>
      <x:color rgb="0B3558"/>
      <x:name val="Carlito"/>
    </x:font>
    <x:font>
      <x:b/>
      <x:sz val="11"/>
      <x:color rgb="FFFFFF"/>
      <x:name val="Carlito"/>
    </x:font>
    <x:font>
      <x:b/>
      <x:sz val="11"/>
      <x:name val="Carlito"/>
    </x:font>
    <x:font>
      <x:i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B3558"/>
      </x:patternFill>
    </x:fill>
    <x:fill>
      <x:patternFill patternType="solid">
        <x:fgColor rgb="0B355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ill>
        <x:patternFill>
          <x:bgColor rgb="FECACA"/>
        </x:patternFill>
      </x:fill>
    </x:dxf>
    <x:dxf>
      <x:fill>
        <x:patternFill>
          <x:bgColor rgb="BBF7D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ee344979eb47b5" /><Relationship Type="http://schemas.openxmlformats.org/officeDocument/2006/relationships/theme" Target="/xl/theme/theme1.xml" Id="R5a79e19859a74de0" /><Relationship Type="http://schemas.openxmlformats.org/officeDocument/2006/relationships/sharedStrings" Target="/xl/sharedStrings.xml" Id="R3cfe7f69771044f7" /><Relationship Type="http://schemas.openxmlformats.org/officeDocument/2006/relationships/worksheet" Target="/xl/worksheets/sheet1.xml" Id="R79342833cf4b4c4b" /><Relationship Type="http://schemas.openxmlformats.org/officeDocument/2006/relationships/worksheet" Target="/xl/worksheets/sheet2.xml" Id="R5a470987d0134bc1" /><Relationship Type="http://schemas.openxmlformats.org/officeDocument/2006/relationships/worksheet" Target="/xl/worksheets/sheet3.xml" Id="R7fca7eab57aa4513" /><Relationship Type="http://schemas.openxmlformats.org/officeDocument/2006/relationships/worksheet" Target="/xl/worksheets/sheet4.xml" Id="R685da6e672f74103" /><Relationship Type="http://schemas.openxmlformats.org/officeDocument/2006/relationships/worksheet" Target="/xl/worksheets/sheet5.xml" Id="Rda11cad4b11946a2" /><Relationship Type="http://schemas.openxmlformats.org/officeDocument/2006/relationships/worksheet" Target="/xl/worksheets/sheet6.xml" Id="R60208d29433f426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9a324469caf44e3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fe864009bd0a41e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Baseline Spend by Category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Baseline Spend</c:v>
          </c:tx>
          <c:cat>
            <c:strRef>
              <c:f>'Cost Categories'!$A$4:$A$9</c:f>
              <c:strCache>
                <c:ptCount val="0"/>
              </c:strCache>
            </c:strRef>
          </c:cat>
          <c:val>
            <c:numRef>
              <c:f>'Cost Categories'!$B$4:$B$9</c:f>
              <c:numCache>
                <c:formatCode>$#,##0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Vendor Spend Pareto Baseline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Spend</c:v>
          </c:tx>
          <c:cat>
            <c:strRef>
              <c:f>'Vendor Spend'!$A$4:$A$11</c:f>
              <c:strCache>
                <c:ptCount val="0"/>
              </c:strCache>
            </c:strRef>
          </c:cat>
          <c:val>
            <c:numRef>
              <c:f>'Vendor Spend'!$B$4:$B$11</c:f>
              <c:numCache>
                <c:formatCode>$#,##0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2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9a324469caf44e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e864009bd0a41e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0fe812d703bf452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2.xml" Id="Rfa9aeb27d3744be1" /></Relationships>
</file>

<file path=xl/worksheets/sheet1.xml><?xml version="1.0" encoding="utf-8"?>
<x:worksheet xmlns:x="http://schemas.openxmlformats.org/spreadsheetml/2006/main">
  <x:sheetFormatPr defaultRowHeight="15"/>
  <x:cols>
    <x:col min="1" max="1" width="69.58000183105469" hidden="0" customWidth="1"/>
    <x:col min="2" max="2" width="12.25" hidden="0" customWidth="1"/>
    <x:col min="4" max="4" width="14.670000076293945" hidden="0" customWidth="1"/>
    <x:col min="5" max="5" width="4.980000019073486" hidden="0" customWidth="1"/>
    <x:col min="6" max="6" width="6.190000057220459" hidden="0" customWidth="1"/>
    <x:col min="7" max="7" width="7" hidden="0" customWidth="1"/>
    <x:col min="8" max="8" width="6.329999923706055" hidden="0" customWidth="1"/>
  </x:cols>
  <x:sheetData>
    <x:row r="1">
      <x:c r="A1" s="2" t="str">
        <x:v>Rosedale Transport - Monthly Maintenance KPI Dashboard</x:v>
      </x:c>
    </x:row>
    <x:row r="3">
      <x:c r="A3" s="7" t="str">
        <x:v>Fleet Tractors</x:v>
      </x:c>
      <x:c r="B3" t="n">
        <x:v>127</x:v>
      </x:c>
      <x:c r="D3" s="7" t="str">
        <x:v>KPI</x:v>
      </x:c>
      <x:c r="E3" s="7" t="str">
        <x:v>Target</x:v>
      </x:c>
      <x:c r="F3" s="7" t="str">
        <x:v>Current</x:v>
      </x:c>
      <x:c r="G3" s="7" t="str">
        <x:v>Variance</x:v>
      </x:c>
      <x:c r="H3" s="7" t="str">
        <x:v>Status</x:v>
      </x:c>
    </x:row>
    <x:row r="4">
      <x:c r="A4" s="7" t="str">
        <x:v>Fleet Trailers</x:v>
      </x:c>
      <x:c r="B4" t="n">
        <x:v>365</x:v>
      </x:c>
      <x:c r="D4" s="12" t="str">
        <x:v>PM Compliance %</x:v>
      </x:c>
      <x:c r="E4" s="14" t="n">
        <x:v>100</x:v>
      </x:c>
      <x:c r="F4" s="14" t="str"/>
      <x:c r="G4" s="14" t="n">
        <x:f>F4-E4</x:f>
        <x:v>-100</x:v>
      </x:c>
      <x:c r="H4" t="str">
        <x:f>IF(F4&gt;=E4,"PASS","REVIEW")</x:f>
        <x:v>REVIEW</x:v>
      </x:c>
    </x:row>
    <x:row r="5">
      <x:c r="A5" s="7" t="str">
        <x:v>PM-A Interval</x:v>
      </x:c>
      <x:c r="B5" t="str">
        <x:v>15,000 miles</x:v>
      </x:c>
      <x:c r="D5" s="12" t="str">
        <x:v>AVI Compliance %</x:v>
      </x:c>
      <x:c r="E5" s="14" t="n">
        <x:v>100</x:v>
      </x:c>
      <x:c r="F5" s="14" t="str"/>
      <x:c r="G5" s="14" t="n">
        <x:f>F5-E5</x:f>
        <x:v>-100</x:v>
      </x:c>
      <x:c r="H5" t="str">
        <x:f>IF(F5&gt;=E5,"PASS","REVIEW")</x:f>
        <x:v>REVIEW</x:v>
      </x:c>
    </x:row>
    <x:row r="6">
      <x:c r="A6" s="7" t="str">
        <x:v>PM-B Interval</x:v>
      </x:c>
      <x:c r="B6" t="str">
        <x:v>45,000 miles</x:v>
      </x:c>
      <x:c r="D6" s="12" t="str">
        <x:v>Repeat Repairs %</x:v>
      </x:c>
      <x:c r="E6" s="14" t="n">
        <x:v>5</x:v>
      </x:c>
      <x:c r="F6" s="14" t="str"/>
      <x:c r="G6" s="14" t="n">
        <x:f>F6-E6</x:f>
        <x:v>-5</x:v>
      </x:c>
      <x:c r="H6" t="str">
        <x:f>IF(F6&lt;=E6,"PASS","REVIEW")</x:f>
        <x:v>PASS</x:v>
      </x:c>
    </x:row>
    <x:row r="7">
      <x:c r="A7" s="7" t="str">
        <x:v>PM-C Interval</x:v>
      </x:c>
      <x:c r="B7" t="str">
        <x:v>90,000 miles</x:v>
      </x:c>
      <x:c r="D7" s="12" t="str">
        <x:v>Comebacks %</x:v>
      </x:c>
      <x:c r="E7" s="14" t="n">
        <x:v>2</x:v>
      </x:c>
      <x:c r="F7" s="14" t="str"/>
      <x:c r="G7" s="14" t="n">
        <x:f>F7-E7</x:f>
        <x:v>-2</x:v>
      </x:c>
      <x:c r="H7" t="str">
        <x:f>IF(F7&lt;=E7,"PASS","REVIEW")</x:f>
        <x:v>PASS</x:v>
      </x:c>
    </x:row>
    <x:row r="8">
      <x:c r="A8" s="7" t="str">
        <x:v>Tractor AVI</x:v>
      </x:c>
      <x:c r="B8" t="str">
        <x:v>Every 6 months</x:v>
      </x:c>
      <x:c r="D8" s="12" t="str">
        <x:v>Road Calls</x:v>
      </x:c>
      <x:c r="E8" t="str"/>
      <x:c r="F8" t="str"/>
      <x:c r="G8" t="str"/>
      <x:c r="H8" t="str"/>
    </x:row>
    <x:row r="9">
      <x:c r="A9" s="7" t="str">
        <x:v>Trailer AVI</x:v>
      </x:c>
      <x:c r="B9" t="str">
        <x:v>Every 6 months</x:v>
      </x:c>
      <x:c r="D9" s="12" t="str">
        <x:v>Towing Events</x:v>
      </x:c>
      <x:c r="E9" t="str"/>
      <x:c r="F9" t="str"/>
      <x:c r="G9" t="str"/>
      <x:c r="H9" t="str"/>
    </x:row>
    <x:row r="10">
      <x:c r="D10" s="12" t="str">
        <x:v>Cost Per Mile</x:v>
      </x:c>
      <x:c r="E10" t="str"/>
      <x:c r="F10" t="str"/>
      <x:c r="G10" t="str"/>
      <x:c r="H10" t="str"/>
    </x:row>
    <x:row r="11">
      <x:c r="D11" s="12" t="str">
        <x:v>Tire Cost Per Mile</x:v>
      </x:c>
      <x:c r="E11" t="str"/>
      <x:c r="F11" t="str"/>
      <x:c r="G11" t="str"/>
      <x:c r="H11" t="str"/>
    </x:row>
    <x:row r="12">
      <x:c r="D12" s="12" t="str">
        <x:v>Vendor Spend</x:v>
      </x:c>
      <x:c r="E12" t="str"/>
      <x:c r="F12" t="str"/>
      <x:c r="G12" t="str"/>
      <x:c r="H12" t="str"/>
    </x:row>
  </x:sheetData>
  <x:mergeCells>
    <x:mergeCell ref="A1:H1"/>
  </x:mergeCells>
  <x:conditionalFormatting sqref="H4:H7">
    <x:cfRule type="expression" dxfId="0" priority="1">
      <x:formula>H4="REVIEW"</x:formula>
    </x:cfRule>
    <x:cfRule type="expression" dxfId="1" priority="2">
      <x:formula>H4="PASS"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5.519999980926514" hidden="0" customWidth="1"/>
    <x:col min="2" max="2" width="8.210000038146973" hidden="0" customWidth="1"/>
    <x:col min="3" max="3" width="12.789999961853027" hidden="0" customWidth="1"/>
    <x:col min="4" max="4" width="8.210000038146973" hidden="0" customWidth="1"/>
    <x:col min="5" max="5" width="12.789999961853027" hidden="0" customWidth="1"/>
    <x:col min="6" max="6" width="8.079999923706055" hidden="0" customWidth="1"/>
    <x:col min="7" max="7" width="12.649999618530273" hidden="0" customWidth="1"/>
    <x:col min="8" max="8" width="12.649999618530273" hidden="0" customWidth="1"/>
    <x:col min="9" max="9" width="17.229999542236328" hidden="0" customWidth="1"/>
    <x:col min="10" max="10" width="12.109999656677246" hidden="0" customWidth="1"/>
    <x:col min="11" max="11" width="16.690000534057617" hidden="0" customWidth="1"/>
    <x:col min="12" max="12" width="8.34000015258789" hidden="0" customWidth="1"/>
    <x:col min="13" max="13" width="11.569999694824219" hidden="0" customWidth="1"/>
    <x:col min="14" max="14" width="12.25" hidden="0" customWidth="1"/>
    <x:col min="15" max="15" width="14.670000076293945" hidden="0" customWidth="1"/>
    <x:col min="16" max="16" width="14.670000076293945" hidden="0" customWidth="1"/>
    <x:col min="17" max="17" width="12.649999618530273" hidden="0" customWidth="1"/>
    <x:col min="18" max="18" width="13.319999694824219" hidden="0" customWidth="1"/>
  </x:cols>
  <x:sheetData>
    <x:row r="1">
      <x:c r="A1" s="2" t="str">
        <x:v>Monthly KPI Entry - Input Actual Results Here</x:v>
      </x:c>
    </x:row>
    <x:row r="3">
      <x:c r="A3" s="7" t="str">
        <x:v>Month</x:v>
      </x:c>
      <x:c r="B3" s="7" t="str">
        <x:v>PM-A Due</x:v>
      </x:c>
      <x:c r="C3" s="7" t="str">
        <x:v>PM-A Complete</x:v>
      </x:c>
      <x:c r="D3" s="7" t="str">
        <x:v>PM-B Due</x:v>
      </x:c>
      <x:c r="E3" s="7" t="str">
        <x:v>PM-B Complete</x:v>
      </x:c>
      <x:c r="F3" s="7" t="str">
        <x:v>PM-C Due</x:v>
      </x:c>
      <x:c r="G3" s="7" t="str">
        <x:v>PM-C Complete</x:v>
      </x:c>
      <x:c r="H3" s="7" t="str">
        <x:v>Tractor AVI Due</x:v>
      </x:c>
      <x:c r="I3" s="7" t="str">
        <x:v>Tractor AVI Complete</x:v>
      </x:c>
      <x:c r="J3" s="7" t="str">
        <x:v>Trailer AVI Due</x:v>
      </x:c>
      <x:c r="K3" s="7" t="str">
        <x:v>Trailer AVI Complete</x:v>
      </x:c>
      <x:c r="L3" s="7" t="str">
        <x:v>Road Calls</x:v>
      </x:c>
      <x:c r="M3" s="7" t="str">
        <x:v>Towing Events</x:v>
      </x:c>
      <x:c r="N3" s="7" t="str">
        <x:v>Repeat Repairs</x:v>
      </x:c>
      <x:c r="O3" s="7" t="str">
        <x:v>PM Compliance %</x:v>
      </x:c>
      <x:c r="P3" s="7" t="str">
        <x:v>AVI Compliance %</x:v>
      </x:c>
      <x:c r="Q3" s="7" t="str">
        <x:v>Road Call Trend</x:v>
      </x:c>
      <x:c r="R3" s="7" t="str">
        <x:v>Repeat Repair %</x:v>
      </x:c>
    </x:row>
    <x:row r="4">
      <x:c r="A4" t="str">
        <x:v>Jan</x:v>
      </x:c>
      <x:c r="B4" t="str"/>
      <x:c r="C4" t="str"/>
      <x:c r="D4" t="str"/>
      <x:c r="E4" t="str"/>
      <x:c r="F4" t="str"/>
      <x:c r="G4" t="str"/>
      <x:c r="H4" t="str"/>
      <x:c r="I4" t="str"/>
      <x:c r="J4" t="str"/>
      <x:c r="K4" t="str"/>
      <x:c r="L4" t="str"/>
      <x:c r="M4" t="str"/>
      <x:c r="N4" t="str"/>
      <x:c r="O4" s="16" t="n">
        <x:f>IFERROR((C4+E4+G4)/(B4+D4+F4),0)</x:f>
        <x:v>0</x:v>
      </x:c>
      <x:c r="P4" s="16" t="n">
        <x:f>IFERROR((I4+K4)/(H4+J4),0)</x:f>
        <x:v>0</x:v>
      </x:c>
      <x:c r="Q4" t="n">
        <x:f>L4</x:f>
        <x:v>0</x:v>
      </x:c>
      <x:c r="R4" s="16" t="n">
        <x:f>IFERROR(N4/(C4+E4+G4),0)</x:f>
        <x:v>0</x:v>
      </x:c>
    </x:row>
    <x:row r="5">
      <x:c r="A5" t="str">
        <x:v>Feb</x:v>
      </x:c>
      <x:c r="B5" t="str"/>
      <x:c r="C5" t="str"/>
      <x:c r="D5" t="str"/>
      <x:c r="E5" t="str"/>
      <x:c r="F5" t="str"/>
      <x:c r="G5" t="str"/>
      <x:c r="H5" t="str"/>
      <x:c r="I5" t="str"/>
      <x:c r="J5" t="str"/>
      <x:c r="K5" t="str"/>
      <x:c r="L5" t="str"/>
      <x:c r="M5" t="str"/>
      <x:c r="N5" t="str"/>
      <x:c r="O5" s="16" t="n">
        <x:f>IFERROR((C5+E5+G5)/(B5+D5+F5),0)</x:f>
        <x:v>0</x:v>
      </x:c>
      <x:c r="P5" s="16" t="n">
        <x:f>IFERROR((I5+K5)/(H5+J5),0)</x:f>
        <x:v>0</x:v>
      </x:c>
      <x:c r="Q5" t="n">
        <x:f>L5</x:f>
        <x:v>0</x:v>
      </x:c>
      <x:c r="R5" s="16" t="n">
        <x:f>IFERROR(N5/(C5+E5+G5),0)</x:f>
        <x:v>0</x:v>
      </x:c>
    </x:row>
    <x:row r="6">
      <x:c r="A6" t="str">
        <x:v>Mar</x:v>
      </x:c>
      <x:c r="B6" t="str"/>
      <x:c r="C6" t="str"/>
      <x:c r="D6" t="str"/>
      <x:c r="E6" t="str"/>
      <x:c r="F6" t="str"/>
      <x:c r="G6" t="str"/>
      <x:c r="H6" t="str"/>
      <x:c r="I6" t="str"/>
      <x:c r="J6" t="str"/>
      <x:c r="K6" t="str"/>
      <x:c r="L6" t="str"/>
      <x:c r="M6" t="str"/>
      <x:c r="N6" t="str"/>
      <x:c r="O6" s="16" t="n">
        <x:f>IFERROR((C6+E6+G6)/(B6+D6+F6),0)</x:f>
        <x:v>0</x:v>
      </x:c>
      <x:c r="P6" s="16" t="n">
        <x:f>IFERROR((I6+K6)/(H6+J6),0)</x:f>
        <x:v>0</x:v>
      </x:c>
      <x:c r="Q6" t="n">
        <x:f>L6</x:f>
        <x:v>0</x:v>
      </x:c>
      <x:c r="R6" s="16" t="n">
        <x:f>IFERROR(N6/(C6+E6+G6),0)</x:f>
        <x:v>0</x:v>
      </x:c>
    </x:row>
    <x:row r="7">
      <x:c r="A7" t="str">
        <x:v>Apr</x:v>
      </x:c>
      <x:c r="B7" t="str"/>
      <x:c r="C7" t="str"/>
      <x:c r="D7" t="str"/>
      <x:c r="E7" t="str"/>
      <x:c r="F7" t="str"/>
      <x:c r="G7" t="str"/>
      <x:c r="H7" t="str"/>
      <x:c r="I7" t="str"/>
      <x:c r="J7" t="str"/>
      <x:c r="K7" t="str"/>
      <x:c r="L7" t="str"/>
      <x:c r="M7" t="str"/>
      <x:c r="N7" t="str"/>
      <x:c r="O7" s="16" t="n">
        <x:f>IFERROR((C7+E7+G7)/(B7+D7+F7),0)</x:f>
        <x:v>0</x:v>
      </x:c>
      <x:c r="P7" s="16" t="n">
        <x:f>IFERROR((I7+K7)/(H7+J7),0)</x:f>
        <x:v>0</x:v>
      </x:c>
      <x:c r="Q7" t="n">
        <x:f>L7</x:f>
        <x:v>0</x:v>
      </x:c>
      <x:c r="R7" s="16" t="n">
        <x:f>IFERROR(N7/(C7+E7+G7),0)</x:f>
        <x:v>0</x:v>
      </x:c>
    </x:row>
    <x:row r="8">
      <x:c r="A8" t="str">
        <x:v>May</x:v>
      </x:c>
      <x:c r="B8" t="str"/>
      <x:c r="C8" t="str"/>
      <x:c r="D8" t="str"/>
      <x:c r="E8" t="str"/>
      <x:c r="F8" t="str"/>
      <x:c r="G8" t="str"/>
      <x:c r="H8" t="str"/>
      <x:c r="I8" t="str"/>
      <x:c r="J8" t="str"/>
      <x:c r="K8" t="str"/>
      <x:c r="L8" t="str"/>
      <x:c r="M8" t="str"/>
      <x:c r="N8" t="str"/>
      <x:c r="O8" s="16" t="n">
        <x:f>IFERROR((C8+E8+G8)/(B8+D8+F8),0)</x:f>
        <x:v>0</x:v>
      </x:c>
      <x:c r="P8" s="16" t="n">
        <x:f>IFERROR((I8+K8)/(H8+J8),0)</x:f>
        <x:v>0</x:v>
      </x:c>
      <x:c r="Q8" t="n">
        <x:f>L8</x:f>
        <x:v>0</x:v>
      </x:c>
      <x:c r="R8" s="16" t="n">
        <x:f>IFERROR(N8/(C8+E8+G8),0)</x:f>
        <x:v>0</x:v>
      </x:c>
    </x:row>
    <x:row r="9">
      <x:c r="A9" t="str">
        <x:v>Jun</x:v>
      </x:c>
      <x:c r="B9" t="str"/>
      <x:c r="C9" t="str"/>
      <x:c r="D9" t="str"/>
      <x:c r="E9" t="str"/>
      <x:c r="F9" t="str"/>
      <x:c r="G9" t="str"/>
      <x:c r="H9" t="str"/>
      <x:c r="I9" t="str"/>
      <x:c r="J9" t="str"/>
      <x:c r="K9" t="str"/>
      <x:c r="L9" t="str"/>
      <x:c r="M9" t="str"/>
      <x:c r="N9" t="str"/>
      <x:c r="O9" s="16" t="n">
        <x:f>IFERROR((C9+E9+G9)/(B9+D9+F9),0)</x:f>
        <x:v>0</x:v>
      </x:c>
      <x:c r="P9" s="16" t="n">
        <x:f>IFERROR((I9+K9)/(H9+J9),0)</x:f>
        <x:v>0</x:v>
      </x:c>
      <x:c r="Q9" t="n">
        <x:f>L9</x:f>
        <x:v>0</x:v>
      </x:c>
      <x:c r="R9" s="16" t="n">
        <x:f>IFERROR(N9/(C9+E9+G9),0)</x:f>
        <x:v>0</x:v>
      </x:c>
    </x:row>
    <x:row r="10">
      <x:c r="A10" t="str">
        <x:v>Jul</x:v>
      </x:c>
      <x:c r="B10" t="str"/>
      <x:c r="C10" t="str"/>
      <x:c r="D10" t="str"/>
      <x:c r="E10" t="str"/>
      <x:c r="F10" t="str"/>
      <x:c r="G10" t="str"/>
      <x:c r="H10" t="str"/>
      <x:c r="I10" t="str"/>
      <x:c r="J10" t="str"/>
      <x:c r="K10" t="str"/>
      <x:c r="L10" t="str"/>
      <x:c r="M10" t="str"/>
      <x:c r="N10" t="str"/>
      <x:c r="O10" s="16" t="n">
        <x:f>IFERROR((C10+E10+G10)/(B10+D10+F10),0)</x:f>
        <x:v>0</x:v>
      </x:c>
      <x:c r="P10" s="16" t="n">
        <x:f>IFERROR((I10+K10)/(H10+J10),0)</x:f>
        <x:v>0</x:v>
      </x:c>
      <x:c r="Q10" t="n">
        <x:f>L10</x:f>
        <x:v>0</x:v>
      </x:c>
      <x:c r="R10" s="16" t="n">
        <x:f>IFERROR(N10/(C10+E10+G10),0)</x:f>
        <x:v>0</x:v>
      </x:c>
    </x:row>
    <x:row r="11">
      <x:c r="A11" t="str">
        <x:v>Aug</x:v>
      </x:c>
      <x:c r="B11" t="str"/>
      <x:c r="C11" t="str"/>
      <x:c r="D11" t="str"/>
      <x:c r="E11" t="str"/>
      <x:c r="F11" t="str"/>
      <x:c r="G11" t="str"/>
      <x:c r="H11" t="str"/>
      <x:c r="I11" t="str"/>
      <x:c r="J11" t="str"/>
      <x:c r="K11" t="str"/>
      <x:c r="L11" t="str"/>
      <x:c r="M11" t="str"/>
      <x:c r="N11" t="str"/>
      <x:c r="O11" s="16" t="n">
        <x:f>IFERROR((C11+E11+G11)/(B11+D11+F11),0)</x:f>
        <x:v>0</x:v>
      </x:c>
      <x:c r="P11" s="16" t="n">
        <x:f>IFERROR((I11+K11)/(H11+J11),0)</x:f>
        <x:v>0</x:v>
      </x:c>
      <x:c r="Q11" t="n">
        <x:f>L11</x:f>
        <x:v>0</x:v>
      </x:c>
      <x:c r="R11" s="16" t="n">
        <x:f>IFERROR(N11/(C11+E11+G11),0)</x:f>
        <x:v>0</x:v>
      </x:c>
    </x:row>
    <x:row r="12">
      <x:c r="A12" t="str">
        <x:v>Sep</x:v>
      </x:c>
      <x:c r="B12" t="str"/>
      <x:c r="C12" t="str"/>
      <x:c r="D12" t="str"/>
      <x:c r="E12" t="str"/>
      <x:c r="F12" t="str"/>
      <x:c r="G12" t="str"/>
      <x:c r="H12" t="str"/>
      <x:c r="I12" t="str"/>
      <x:c r="J12" t="str"/>
      <x:c r="K12" t="str"/>
      <x:c r="L12" t="str"/>
      <x:c r="M12" t="str"/>
      <x:c r="N12" t="str"/>
      <x:c r="O12" s="16" t="n">
        <x:f>IFERROR((C12+E12+G12)/(B12+D12+F12),0)</x:f>
        <x:v>0</x:v>
      </x:c>
      <x:c r="P12" s="16" t="n">
        <x:f>IFERROR((I12+K12)/(H12+J12),0)</x:f>
        <x:v>0</x:v>
      </x:c>
      <x:c r="Q12" t="n">
        <x:f>L12</x:f>
        <x:v>0</x:v>
      </x:c>
      <x:c r="R12" s="16" t="n">
        <x:f>IFERROR(N12/(C12+E12+G12),0)</x:f>
        <x:v>0</x:v>
      </x:c>
    </x:row>
    <x:row r="13">
      <x:c r="A13" t="str">
        <x:v>Oct</x:v>
      </x:c>
      <x:c r="B13" t="str"/>
      <x:c r="C13" t="str"/>
      <x:c r="D13" t="str"/>
      <x:c r="E13" t="str"/>
      <x:c r="F13" t="str"/>
      <x:c r="G13" t="str"/>
      <x:c r="H13" t="str"/>
      <x:c r="I13" t="str"/>
      <x:c r="J13" t="str"/>
      <x:c r="K13" t="str"/>
      <x:c r="L13" t="str"/>
      <x:c r="M13" t="str"/>
      <x:c r="N13" t="str"/>
      <x:c r="O13" s="16" t="n">
        <x:f>IFERROR((C13+E13+G13)/(B13+D13+F13),0)</x:f>
        <x:v>0</x:v>
      </x:c>
      <x:c r="P13" s="16" t="n">
        <x:f>IFERROR((I13+K13)/(H13+J13),0)</x:f>
        <x:v>0</x:v>
      </x:c>
      <x:c r="Q13" t="n">
        <x:f>L13</x:f>
        <x:v>0</x:v>
      </x:c>
      <x:c r="R13" s="16" t="n">
        <x:f>IFERROR(N13/(C13+E13+G13),0)</x:f>
        <x:v>0</x:v>
      </x:c>
    </x:row>
    <x:row r="14">
      <x:c r="A14" t="str">
        <x:v>Nov</x:v>
      </x:c>
      <x:c r="B14" t="str"/>
      <x:c r="C14" t="str"/>
      <x:c r="D14" t="str"/>
      <x:c r="E14" t="str"/>
      <x:c r="F14" t="str"/>
      <x:c r="G14" t="str"/>
      <x:c r="H14" t="str"/>
      <x:c r="I14" t="str"/>
      <x:c r="J14" t="str"/>
      <x:c r="K14" t="str"/>
      <x:c r="L14" t="str"/>
      <x:c r="M14" t="str"/>
      <x:c r="N14" t="str"/>
      <x:c r="O14" s="16" t="n">
        <x:f>IFERROR((C14+E14+G14)/(B14+D14+F14),0)</x:f>
        <x:v>0</x:v>
      </x:c>
      <x:c r="P14" s="16" t="n">
        <x:f>IFERROR((I14+K14)/(H14+J14),0)</x:f>
        <x:v>0</x:v>
      </x:c>
      <x:c r="Q14" t="n">
        <x:f>L14</x:f>
        <x:v>0</x:v>
      </x:c>
      <x:c r="R14" s="16" t="n">
        <x:f>IFERROR(N14/(C14+E14+G14),0)</x:f>
        <x:v>0</x:v>
      </x:c>
    </x:row>
    <x:row r="15">
      <x:c r="A15" t="str">
        <x:v>Dec</x:v>
      </x:c>
      <x:c r="B15" t="str"/>
      <x:c r="C15" t="str"/>
      <x:c r="D15" t="str"/>
      <x:c r="E15" t="str"/>
      <x:c r="F15" t="str"/>
      <x:c r="G15" t="str"/>
      <x:c r="H15" t="str"/>
      <x:c r="I15" t="str"/>
      <x:c r="J15" t="str"/>
      <x:c r="K15" t="str"/>
      <x:c r="L15" t="str"/>
      <x:c r="M15" t="str"/>
      <x:c r="N15" t="str"/>
      <x:c r="O15" s="16" t="n">
        <x:f>IFERROR((C15+E15+G15)/(B15+D15+F15),0)</x:f>
        <x:v>0</x:v>
      </x:c>
      <x:c r="P15" s="16" t="n">
        <x:f>IFERROR((I15+K15)/(H15+J15),0)</x:f>
        <x:v>0</x:v>
      </x:c>
      <x:c r="Q15" t="n">
        <x:f>L15</x:f>
        <x:v>0</x:v>
      </x:c>
      <x:c r="R15" s="16" t="n">
        <x:f>IFERROR(N15/(C15+E15+G15),0)</x:f>
        <x:v>0</x:v>
      </x:c>
    </x:row>
  </x:sheetData>
  <x:mergeCells>
    <x:mergeCell ref="A1:N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.690000534057617" hidden="0" customWidth="1"/>
    <x:col min="2" max="2" width="14.670000076293945" hidden="0" customWidth="1"/>
    <x:col min="3" max="3" width="12.25" hidden="0" customWidth="1"/>
    <x:col min="4" max="4" width="9.149999618530273" hidden="0" customWidth="1"/>
    <x:col min="5" max="5" width="17.09000015258789" hidden="0" customWidth="1"/>
    <x:col min="6" max="6" width="18.56999969482422" hidden="0" customWidth="1"/>
    <x:col min="7" max="7" width="17.6299991607666" hidden="0" customWidth="1"/>
    <x:col min="8" max="8" width="8.880000114440918" hidden="0" customWidth="1"/>
  </x:cols>
  <x:sheetData>
    <x:row r="1">
      <x:c r="A1" s="2" t="str">
        <x:v>Monthly Technician Accountability Scorecards</x:v>
      </x:c>
    </x:row>
    <x:row r="3">
      <x:c r="A3" s="23" t="str">
        <x:v>Technician</x:v>
      </x:c>
      <x:c r="B3" s="23" t="str">
        <x:v>PM Compliance %</x:v>
      </x:c>
      <x:c r="C3" s="23" t="str">
        <x:v>Repeat Repairs</x:v>
      </x:c>
      <x:c r="D3" s="23" t="str">
        <x:v>Comebacks</x:v>
      </x:c>
      <x:c r="E3" s="23" t="str">
        <x:v>Safety Defects Found</x:v>
      </x:c>
      <x:c r="F3" s="23" t="str">
        <x:v>Road Failures After PM</x:v>
      </x:c>
      <x:c r="G3" s="23" t="str">
        <x:v>Documentation Score</x:v>
      </x:c>
      <x:c r="H3" s="23" t="str">
        <x:v>Total Score</x:v>
      </x:c>
    </x:row>
    <x:row r="4">
      <x:c r="A4" t="str">
        <x:v>Joseph Miller</x:v>
      </x:c>
      <x:c r="B4" s="16" t="str"/>
      <x:c r="C4" s="16" t="str"/>
      <x:c r="D4" t="str"/>
      <x:c r="E4" t="str"/>
      <x:c r="F4" t="str"/>
      <x:c r="G4" t="str"/>
      <x:c r="H4" s="14" t="n">
        <x:f>IFERROR(B4*40 + (1/(1+C4))*20 + (1/(1+D4))*20 + E4*2 - F4*5 + G4,0)</x:f>
        <x:v>40</x:v>
      </x:c>
    </x:row>
    <x:row r="5">
      <x:c r="A5" t="str">
        <x:v>Luke Gentry</x:v>
      </x:c>
      <x:c r="B5" s="16" t="str"/>
      <x:c r="C5" s="16" t="str"/>
      <x:c r="D5" t="str"/>
      <x:c r="E5" t="str"/>
      <x:c r="F5" t="str"/>
      <x:c r="G5" t="str"/>
      <x:c r="H5" s="14" t="n">
        <x:f>IFERROR(B5*40 + (1/(1+C5))*20 + (1/(1+D5))*20 + E5*2 - F5*5 + G5,0)</x:f>
        <x:v>40</x:v>
      </x:c>
    </x:row>
    <x:row r="6">
      <x:c r="A6" t="str">
        <x:v>Anthony Tackett</x:v>
      </x:c>
      <x:c r="B6" s="16" t="str"/>
      <x:c r="C6" s="16" t="str"/>
      <x:c r="D6" t="str"/>
      <x:c r="E6" t="str"/>
      <x:c r="F6" t="str"/>
      <x:c r="G6" t="str"/>
      <x:c r="H6" s="14" t="n">
        <x:f>IFERROR(B6*40 + (1/(1+C6))*20 + (1/(1+D6))*20 + E6*2 - F6*5 + G6,0)</x:f>
        <x:v>40</x:v>
      </x:c>
    </x:row>
    <x:row r="7">
      <x:c r="A7" t="str">
        <x:v>Theodore McLemore</x:v>
      </x:c>
      <x:c r="B7" s="16" t="str"/>
      <x:c r="C7" s="16" t="str"/>
      <x:c r="D7" t="str"/>
      <x:c r="E7" t="str"/>
      <x:c r="F7" t="str"/>
      <x:c r="G7" t="str"/>
      <x:c r="H7" s="14" t="n">
        <x:f>IFERROR(B7*40 + (1/(1+C7))*20 + (1/(1+D7))*20 + E7*2 - F7*5 + G7,0)</x:f>
        <x:v>40</x:v>
      </x:c>
    </x:row>
    <x:row r="8">
      <x:c r="A8" t="str">
        <x:v>William Hill</x:v>
      </x:c>
      <x:c r="B8" s="16" t="str"/>
      <x:c r="C8" t="str"/>
      <x:c r="D8" t="str"/>
      <x:c r="E8" t="str"/>
      <x:c r="F8" t="str"/>
      <x:c r="G8" t="str"/>
      <x:c r="H8" s="14" t="n">
        <x:f>IFERROR(B8*40 + (1/(1+C8))*20 + (1/(1+D8))*20 + E8*2 - F8*5 + G8,0)</x:f>
        <x:v>40</x:v>
      </x:c>
    </x:row>
    <x:row r="10">
      <x:c r="A10" s="26" t="str">
        <x:v>Technician accountability is measured equally across the same shop-wide KPI categories. No individual lead roles or task assignments are listed.</x:v>
      </x:c>
    </x:row>
  </x:sheetData>
  <x:mergeCells>
    <x:mergeCell ref="A1:H1"/>
    <x:mergeCell ref="A10:H10"/>
  </x:mergeCells>
  <x:dataValidations count="1">
    <x:dataValidation type="decimal" operator="between" sqref="C4:C7">
      <x:formula1>0</x:formula1>
      <x:formula2>1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.75" hidden="0" customWidth="1"/>
    <x:col min="2" max="2" width="10.09000015258789" hidden="0" customWidth="1"/>
    <x:col min="3" max="3" width="24.899999618530273" hidden="0" customWidth="1"/>
    <x:col min="4" max="4" width="35.79999923706055" hidden="0" customWidth="1"/>
    <x:col min="5" max="5" width="11.979999542236328" hidden="0" customWidth="1"/>
    <x:col min="6" max="6" width="18.979999542236328" hidden="0" customWidth="1"/>
  </x:cols>
  <x:sheetData>
    <x:row r="1">
      <x:c r="A1" s="2" t="str">
        <x:v>Rosedale PM Schedule - Exact Mileage Based</x:v>
      </x:c>
    </x:row>
    <x:row r="3">
      <x:c r="A3" s="7" t="str">
        <x:v>Service</x:v>
      </x:c>
      <x:c r="B3" s="7" t="str">
        <x:v>Interval</x:v>
      </x:c>
      <x:c r="C3" s="7" t="str">
        <x:v>Applies To</x:v>
      </x:c>
      <x:c r="D3" s="7" t="str">
        <x:v>Primary Focus</x:v>
      </x:c>
      <x:c r="E3" s="7" t="str">
        <x:v>Required Form</x:v>
      </x:c>
      <x:c r="F3" s="7" t="str">
        <x:v>Notes</x:v>
      </x:c>
    </x:row>
    <x:row r="4">
      <x:c r="A4" t="str">
        <x:v>PM-A</x:v>
      </x:c>
      <x:c r="B4" t="str">
        <x:v>15,000 miles</x:v>
      </x:c>
      <x:c r="C4" t="str">
        <x:v>Tractors</x:v>
      </x:c>
      <x:c r="D4" t="str">
        <x:v>Base service, measurements, fault review</x:v>
      </x:c>
      <x:c r="E4" t="str">
        <x:v>Tractor PM-A</x:v>
      </x:c>
      <x:c r="F4" t="str">
        <x:v>Exact mileage interval</x:v>
      </x:c>
    </x:row>
    <x:row r="5">
      <x:c r="A5" t="str">
        <x:v>PM-B</x:v>
      </x:c>
      <x:c r="B5" t="str">
        <x:v>45,000 miles</x:v>
      </x:c>
      <x:c r="C5" t="str">
        <x:v>Tractors</x:v>
      </x:c>
      <x:c r="D5" t="str">
        <x:v>PM-A + wheel ends, brakes, suspension, APU</x:v>
      </x:c>
      <x:c r="E5" t="str">
        <x:v>Tractor PM-B</x:v>
      </x:c>
      <x:c r="F5" t="str">
        <x:v>Exact mileage interval</x:v>
      </x:c>
    </x:row>
    <x:row r="6">
      <x:c r="A6" t="str">
        <x:v>PM-C</x:v>
      </x:c>
      <x:c r="B6" t="str">
        <x:v>90,000 miles</x:v>
      </x:c>
      <x:c r="C6" t="str">
        <x:v>Tractors</x:v>
      </x:c>
      <x:c r="D6" t="str">
        <x:v>PM-B + major reliability audit</x:v>
      </x:c>
      <x:c r="E6" t="str">
        <x:v>Tractor PM-C</x:v>
      </x:c>
      <x:c r="F6" t="str">
        <x:v>Exact mileage interval</x:v>
      </x:c>
    </x:row>
    <x:row r="7">
      <x:c r="A7" t="str">
        <x:v>Tractor AVI</x:v>
      </x:c>
      <x:c r="B7" t="str">
        <x:v>6 months</x:v>
      </x:c>
      <x:c r="C7" t="str">
        <x:v>Tractors</x:v>
      </x:c>
      <x:c r="D7" t="str">
        <x:v>DOT/AVI compliance</x:v>
      </x:c>
      <x:c r="E7" t="str">
        <x:v>Tractor AVI</x:v>
      </x:c>
      <x:c r="F7" t="str">
        <x:v>Semiannual</x:v>
      </x:c>
    </x:row>
    <x:row r="8">
      <x:c r="A8" t="str">
        <x:v>Trailer PM</x:v>
      </x:c>
      <x:c r="B8" t="str">
        <x:v>90 days</x:v>
      </x:c>
      <x:c r="C8" t="str">
        <x:v>53' Dry Vans</x:v>
      </x:c>
      <x:c r="D8" t="str">
        <x:v>Brakes, ABS, lights, wheel ends</x:v>
      </x:c>
      <x:c r="E8" t="str">
        <x:v>Trailer PM</x:v>
      </x:c>
      <x:c r="F8" t="str">
        <x:v>Calendar controlled</x:v>
      </x:c>
    </x:row>
    <x:row r="9">
      <x:c r="A9" t="str">
        <x:v>Trailer AVI</x:v>
      </x:c>
      <x:c r="B9" t="str">
        <x:v>6 months</x:v>
      </x:c>
      <x:c r="C9" t="str">
        <x:v>53' Dry Vans</x:v>
      </x:c>
      <x:c r="D9" t="str">
        <x:v>DOT/AVI compliance</x:v>
      </x:c>
      <x:c r="E9" t="str">
        <x:v>Trailer AVI</x:v>
      </x:c>
      <x:c r="F9" t="str">
        <x:v>Semiannual</x:v>
      </x:c>
    </x:row>
    <x:row r="10">
      <x:c r="A10" t="str">
        <x:v>APU PM</x:v>
      </x:c>
      <x:c r="B10" t="str">
        <x:v>By APU type</x:v>
      </x:c>
      <x:c r="C10" t="str">
        <x:v>Navistar / Green / Thermo King</x:v>
      </x:c>
      <x:c r="D10" t="str">
        <x:v>APU-specific inspection/service</x:v>
      </x:c>
      <x:c r="E10" t="str">
        <x:v>APU PM Forms</x:v>
      </x:c>
      <x:c r="F10" t="str">
        <x:v>Use matching APU form</x:v>
      </x:c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.81999969482422" hidden="0" customWidth="1"/>
    <x:col min="2" max="2" width="12.380000114440918" hidden="0" customWidth="1"/>
    <x:col min="3" max="3" width="15.609999656677246" hidden="0" customWidth="1"/>
    <x:col min="4" max="4" width="11.569999694824219" hidden="0" customWidth="1"/>
  </x:cols>
  <x:sheetData>
    <x:row r="1">
      <x:c r="A1" s="2" t="str">
        <x:v>JAN-MAY Pareto Cost Categories - Starting Baseline</x:v>
      </x:c>
    </x:row>
    <x:row r="3">
      <x:c r="A3" s="7" t="str">
        <x:v>Category</x:v>
      </x:c>
      <x:c r="B3" s="7" t="str">
        <x:v>Baseline Spend</x:v>
      </x:c>
      <x:c r="C3" s="7" t="str">
        <x:v>Target Reduction %</x:v>
      </x:c>
      <x:c r="D3" s="7" t="str">
        <x:v>Target Savings</x:v>
      </x:c>
    </x:row>
    <x:row r="4">
      <x:c r="A4" t="str">
        <x:v>Tires</x:v>
      </x:c>
      <x:c r="B4" s="18" t="n">
        <x:v>329000</x:v>
      </x:c>
      <x:c r="C4" s="20" t="n">
        <x:v>0.1</x:v>
      </x:c>
      <x:c r="D4" s="18" t="n">
        <x:f>B4*C4</x:f>
        <x:v>32900</x:v>
      </x:c>
    </x:row>
    <x:row r="5">
      <x:c r="A5" t="str">
        <x:v>Electrical / ABS</x:v>
      </x:c>
      <x:c r="B5" s="18" t="n">
        <x:v>142000</x:v>
      </x:c>
      <x:c r="C5" s="20" t="n">
        <x:v>0.15</x:v>
      </x:c>
      <x:c r="D5" s="18" t="n">
        <x:f>B5*C5</x:f>
        <x:v>21300</x:v>
      </x:c>
    </x:row>
    <x:row r="6">
      <x:c r="A6" t="str">
        <x:v>Accident Damage</x:v>
      </x:c>
      <x:c r="B6" s="18" t="n">
        <x:v>125000</x:v>
      </x:c>
      <x:c r="C6" s="20" t="n">
        <x:v>0.1</x:v>
      </x:c>
      <x:c r="D6" s="18" t="n">
        <x:f>B6*C6</x:f>
        <x:v>12500</x:v>
      </x:c>
    </x:row>
    <x:row r="7">
      <x:c r="A7" t="str">
        <x:v>Brakes</x:v>
      </x:c>
      <x:c r="B7" s="18" t="n">
        <x:v>86000</x:v>
      </x:c>
      <x:c r="C7" s="20" t="n">
        <x:v>0.15</x:v>
      </x:c>
      <x:c r="D7" s="18" t="n">
        <x:f>B7*C7</x:f>
        <x:v>12900</x:v>
      </x:c>
    </x:row>
    <x:row r="8">
      <x:c r="A8" t="str">
        <x:v>Batteries</x:v>
      </x:c>
      <x:c r="B8" s="18" t="n">
        <x:v>62000</x:v>
      </x:c>
      <x:c r="C8" s="20" t="n">
        <x:v>0.15</x:v>
      </x:c>
      <x:c r="D8" s="18" t="n">
        <x:f>B8*C8</x:f>
        <x:v>9300</x:v>
      </x:c>
    </x:row>
    <x:row r="9">
      <x:c r="A9" t="str">
        <x:v>DPF / Aftertreatment</x:v>
      </x:c>
      <x:c r="B9" s="18" t="n">
        <x:v>48000</x:v>
      </x:c>
      <x:c r="C9" s="20" t="n">
        <x:v>0.15</x:v>
      </x:c>
      <x:c r="D9" s="18" t="n">
        <x:f>B9*C9</x:f>
        <x:v>7200</x:v>
      </x:c>
    </x:row>
  </x:sheetData>
  <x:mergeCells>
    <x:mergeCell ref="A1:D1"/>
  </x:mergeCells>
  <x:pageMargins left="0.7" right="0.7" top="0.75" bottom="0.75" header="0.3" footer="0.3"/>
  <x:drawing xmlns:r="http://schemas.openxmlformats.org/officeDocument/2006/relationships" r:id="R0fe812d703bf4524"/>
</x:worksheet>
</file>

<file path=xl/worksheets/sheet6.xml><?xml version="1.0" encoding="utf-8"?>
<x:worksheet xmlns:x="http://schemas.openxmlformats.org/spreadsheetml/2006/main">
  <x:sheetFormatPr defaultRowHeight="15"/>
  <x:cols>
    <x:col min="1" max="1" width="15.210000038146973" hidden="0" customWidth="1"/>
    <x:col min="2" max="2" width="7.400000095367432" hidden="0" customWidth="1"/>
    <x:col min="3" max="3" width="7.940000057220459" hidden="0" customWidth="1"/>
    <x:col min="4" max="4" width="10.899999618530273" hidden="0" customWidth="1"/>
    <x:col min="5" max="5" width="36.20000076293945" hidden="0" customWidth="1"/>
  </x:cols>
  <x:sheetData>
    <x:row r="1">
      <x:c r="A1" s="2" t="str">
        <x:v>Vendor Spend Review</x:v>
      </x:c>
    </x:row>
    <x:row r="3">
      <x:c r="A3" s="7" t="str">
        <x:v>Vendor</x:v>
      </x:c>
      <x:c r="B3" s="7" t="str">
        <x:v>Spend</x:v>
      </x:c>
      <x:c r="C3" s="7" t="str">
        <x:v>% of Total</x:v>
      </x:c>
      <x:c r="D3" s="7" t="str">
        <x:v>Audit Priority</x:v>
      </x:c>
      <x:c r="E3" s="7" t="str">
        <x:v>Notes</x:v>
      </x:c>
    </x:row>
    <x:row r="4">
      <x:c r="A4" t="str">
        <x:v>Browns</x:v>
      </x:c>
      <x:c r="B4" s="18" t="n">
        <x:v>419338</x:v>
      </x:c>
      <x:c r="C4" s="16" t="n">
        <x:f>B4/SUM($B$4:$B$11)</x:f>
        <x:v>0.328619086391638</x:v>
      </x:c>
      <x:c r="D4" t="str">
        <x:v>High</x:v>
      </x:c>
      <x:c r="E4" t="str">
        <x:v>Review top invoices and collision/body spend</x:v>
      </x:c>
    </x:row>
    <x:row r="5">
      <x:c r="A5" t="str">
        <x:v>Loves</x:v>
      </x:c>
      <x:c r="B5" s="18" t="n">
        <x:v>177025</x:v>
      </x:c>
      <x:c r="C5" s="16" t="n">
        <x:f>B5/SUM($B$4:$B$11)</x:f>
        <x:v>0.13872769405224358</x:v>
      </x:c>
      <x:c r="D5" t="str">
        <x:v>High</x:v>
      </x:c>
      <x:c r="E5" t="str">
        <x:v>Review tires, disposal fees, road service</x:v>
      </x:c>
    </x:row>
    <x:row r="6">
      <x:c r="A6" t="str">
        <x:v>Lee Smith</x:v>
      </x:c>
      <x:c r="B6" s="18" t="n">
        <x:v>147117</x:v>
      </x:c>
      <x:c r="C6" s="16" t="n">
        <x:f>B6/SUM($B$4:$B$11)</x:f>
        <x:v>0.11528994303563858</x:v>
      </x:c>
      <x:c r="D6" t="str">
        <x:v>High</x:v>
      </x:c>
      <x:c r="E6" t="str">
        <x:v>Review dealer labor/diagnostics</x:v>
      </x:c>
    </x:row>
    <x:row r="7">
      <x:c r="A7" t="str">
        <x:v>MHC</x:v>
      </x:c>
      <x:c r="B7" s="18" t="n">
        <x:v>115547</x:v>
      </x:c>
      <x:c r="C7" s="16" t="n">
        <x:f>B7/SUM($B$4:$B$11)</x:f>
        <x:v>0.09054974644629057</x:v>
      </x:c>
      <x:c r="D7" t="str">
        <x:v>High</x:v>
      </x:c>
      <x:c r="E7" t="str">
        <x:v>Review diagnostics and repeat visits</x:v>
      </x:c>
    </x:row>
    <x:row r="8">
      <x:c r="A8" t="str">
        <x:v>Truck Pro</x:v>
      </x:c>
      <x:c r="B8" s="18" t="n">
        <x:v>111944</x:v>
      </x:c>
      <x:c r="C8" s="16" t="n">
        <x:f>B8/SUM($B$4:$B$11)</x:f>
        <x:v>0.08772621371548853</x:v>
      </x:c>
      <x:c r="D8" t="str">
        <x:v>Medium</x:v>
      </x:c>
      <x:c r="E8" t="str">
        <x:v>Parts and outsourced service review</x:v>
      </x:c>
    </x:row>
    <x:row r="9">
      <x:c r="A9" t="str">
        <x:v>Dalton Commercial</x:v>
      </x:c>
      <x:c r="B9" s="18" t="n">
        <x:v>110267</x:v>
      </x:c>
      <x:c r="C9" s="16" t="n">
        <x:f>B9/SUM($B$4:$B$11)</x:f>
        <x:v>0.0864120132188038</x:v>
      </x:c>
      <x:c r="D9" t="str">
        <x:v>Medium</x:v>
      </x:c>
      <x:c r="E9" t="str">
        <x:v>Review tire/alignment related repairs</x:v>
      </x:c>
    </x:row>
    <x:row r="10">
      <x:c r="A10" t="str">
        <x:v>Misc</x:v>
      </x:c>
      <x:c r="B10" s="18" t="n">
        <x:v>101045</x:v>
      </x:c>
      <x:c r="C10" s="16" t="n">
        <x:f>B10/SUM($B$4:$B$11)</x:f>
        <x:v>0.07918508597943202</x:v>
      </x:c>
      <x:c r="D10" t="str">
        <x:v>Medium</x:v>
      </x:c>
      <x:c r="E10" t="str">
        <x:v>Classify unknown spend</x:v>
      </x:c>
    </x:row>
    <x:row r="11">
      <x:c r="A11" t="str">
        <x:v>Rosedale Shop</x:v>
      </x:c>
      <x:c r="B11" s="18" t="n">
        <x:v>93778</x:v>
      </x:c>
      <x:c r="C11" s="16" t="n">
        <x:f>B11/SUM($B$4:$B$11)</x:f>
        <x:v>0.0734902171604649</x:v>
      </x:c>
      <x:c r="D11" t="str">
        <x:v>Internal</x:v>
      </x:c>
      <x:c r="E11" t="str">
        <x:v>Track in-house recovery</x:v>
      </x:c>
    </x:row>
  </x:sheetData>
  <x:mergeCells>
    <x:mergeCell ref="A1:E1"/>
  </x:mergeCells>
  <x:pageMargins left="0.7" right="0.7" top="0.75" bottom="0.75" header="0.3" footer="0.3"/>
  <x:drawing xmlns:r="http://schemas.openxmlformats.org/officeDocument/2006/relationships" r:id="Rfa9aeb27d3744be1"/>
</x:worksheet>
</file>